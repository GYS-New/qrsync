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Giriş" sheetId="1" state="visible" r:id="rId1"/>
    <sheet name="Tamamlanan Frekanslar" sheetId="2" state="visible" r:id="rId2"/>
    <sheet name="Sapmalar" sheetId="3" state="visible" r:id="rId3"/>
    <sheet name="Kayıp Frekanslar" sheetId="4" state="visible" r:id="rId4"/>
    <sheet name="Gruplar" sheetId="5" state="visible" r:id="rId5"/>
  </sheets>
  <definedNames>
    <definedName name="_xlnm._FilterDatabase" localSheetId="1" hidden="1">'Tamamlanan Frekanslar'!$A$2:$E$8</definedName>
    <definedName name="_xlnm._FilterDatabase" localSheetId="2" hidden="1">'Sapmalar'!$A$2:$G$8</definedName>
    <definedName name="_xlnm._FilterDatabase" localSheetId="4" hidden="1">'Gruplar'!$A$1:$J$7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₺&quot;#,##0.00"/>
  </numFmts>
  <fonts count="16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b val="1"/>
      <color theme="1"/>
      <sz val="14"/>
      <scheme val="minor"/>
    </font>
    <font>
      <name val="Arial"/>
      <charset val="162"/>
      <family val="2"/>
      <b val="1"/>
      <color indexed="8"/>
      <sz val="10"/>
    </font>
    <font>
      <name val="Arial"/>
      <charset val="162"/>
      <family val="2"/>
      <color indexed="8"/>
      <sz val="10"/>
    </font>
    <font>
      <name val="Calibri"/>
      <family val="2"/>
      <color theme="1"/>
      <sz val="12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color indexed="8"/>
      <sz val="11"/>
    </font>
    <font>
      <name val="Calibri"/>
      <charset val="162"/>
      <family val="2"/>
      <b val="1"/>
      <color indexed="8"/>
      <sz val="12"/>
      <scheme val="minor"/>
    </font>
    <font>
      <name val="Calibri"/>
      <charset val="162"/>
      <family val="2"/>
      <b val="1"/>
      <color rgb="FFFF0000"/>
      <sz val="12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charset val="162"/>
      <family val="2"/>
      <b val="1"/>
      <color theme="1" tint="0.3499862666707358"/>
      <sz val="12"/>
      <scheme val="minor"/>
    </font>
    <font>
      <name val="Calibri"/>
      <charset val="162"/>
      <family val="2"/>
      <color theme="1" tint="0.3499862666707358"/>
      <sz val="12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375623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>
      <bottom style="thin"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7" fillId="0" borderId="12" pivotButton="0" quotePrefix="0" xfId="0"/>
    <xf numFmtId="0" fontId="5" fillId="0" borderId="0" pivotButton="0" quotePrefix="0" xfId="0"/>
    <xf numFmtId="0" fontId="6" fillId="0" borderId="11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1" fillId="0" borderId="9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1" fillId="0" borderId="35" applyAlignment="1" pivotButton="0" quotePrefix="0" xfId="0">
      <alignment vertical="center"/>
    </xf>
    <xf numFmtId="0" fontId="7" fillId="0" borderId="35" applyAlignment="1" pivotButton="0" quotePrefix="0" xfId="0">
      <alignment horizontal="left" vertical="center"/>
    </xf>
    <xf numFmtId="0" fontId="7" fillId="0" borderId="0" pivotButton="0" quotePrefix="0" xfId="0"/>
    <xf numFmtId="0" fontId="6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/>
    </xf>
    <xf numFmtId="165" fontId="0" fillId="5" borderId="2" applyAlignment="1" pivotButton="0" quotePrefix="0" xfId="0">
      <alignment horizontal="center" vertical="center"/>
    </xf>
    <xf numFmtId="165" fontId="0" fillId="5" borderId="3" applyAlignment="1" pivotButton="0" quotePrefix="0" xfId="0">
      <alignment horizontal="center" vertical="center"/>
    </xf>
    <xf numFmtId="165" fontId="0" fillId="5" borderId="33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5" fontId="0" fillId="0" borderId="30" applyAlignment="1" pivotButton="0" quotePrefix="0" xfId="0">
      <alignment horizontal="center" vertical="center"/>
    </xf>
    <xf numFmtId="165" fontId="0" fillId="0" borderId="31" applyAlignment="1" pivotButton="0" quotePrefix="0" xfId="0">
      <alignment horizontal="center" vertical="center"/>
    </xf>
    <xf numFmtId="165" fontId="0" fillId="0" borderId="32" applyAlignment="1" pivotButton="0" quotePrefix="0" xfId="0">
      <alignment horizontal="center" vertical="center"/>
    </xf>
    <xf numFmtId="165" fontId="0" fillId="3" borderId="30" applyAlignment="1" pivotButton="0" quotePrefix="0" xfId="0">
      <alignment horizontal="center" vertical="center"/>
    </xf>
    <xf numFmtId="165" fontId="0" fillId="3" borderId="31" applyAlignment="1" pivotButton="0" quotePrefix="0" xfId="0">
      <alignment horizontal="center" vertical="center"/>
    </xf>
    <xf numFmtId="165" fontId="0" fillId="3" borderId="32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165" fontId="0" fillId="3" borderId="3" applyAlignment="1" pivotButton="0" quotePrefix="0" xfId="0">
      <alignment horizontal="center" vertical="center"/>
    </xf>
    <xf numFmtId="165" fontId="0" fillId="3" borderId="4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10" fontId="1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 readingOrder="1"/>
    </xf>
    <xf numFmtId="0" fontId="8" fillId="0" borderId="1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0" fontId="8" fillId="0" borderId="21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8" fillId="0" borderId="17" applyAlignment="1" pivotButton="0" quotePrefix="0" xfId="0">
      <alignment horizontal="left" vertical="center"/>
    </xf>
    <xf numFmtId="0" fontId="8" fillId="0" borderId="39" applyAlignment="1" pivotButton="0" quotePrefix="0" xfId="0">
      <alignment horizontal="left" vertical="center" wrapText="1" readingOrder="1"/>
    </xf>
    <xf numFmtId="0" fontId="8" fillId="0" borderId="35" applyAlignment="1" pivotButton="0" quotePrefix="0" xfId="0">
      <alignment horizontal="left" vertical="center" wrapText="1" readingOrder="1"/>
    </xf>
    <xf numFmtId="0" fontId="8" fillId="0" borderId="40" applyAlignment="1" pivotButton="0" quotePrefix="0" xfId="0">
      <alignment horizontal="left" vertical="center" wrapText="1" readingOrder="1"/>
    </xf>
    <xf numFmtId="0" fontId="8" fillId="0" borderId="41" applyAlignment="1" pivotButton="0" quotePrefix="0" xfId="0">
      <alignment horizontal="left" vertical="center" wrapText="1" readingOrder="1"/>
    </xf>
    <xf numFmtId="0" fontId="8" fillId="0" borderId="3" applyAlignment="1" pivotButton="0" quotePrefix="0" xfId="0">
      <alignment horizontal="left" vertical="center" wrapText="1" readingOrder="1"/>
    </xf>
    <xf numFmtId="0" fontId="8" fillId="0" borderId="4" applyAlignment="1" pivotButton="0" quotePrefix="0" xfId="0">
      <alignment horizontal="left" vertical="center" wrapText="1" readingOrder="1"/>
    </xf>
    <xf numFmtId="0" fontId="8" fillId="0" borderId="42" applyAlignment="1" pivotButton="0" quotePrefix="0" xfId="0">
      <alignment horizontal="left" vertical="center" wrapText="1" readingOrder="1"/>
    </xf>
    <xf numFmtId="0" fontId="8" fillId="0" borderId="31" applyAlignment="1" pivotButton="0" quotePrefix="0" xfId="0">
      <alignment horizontal="left" vertical="center" wrapText="1" readingOrder="1"/>
    </xf>
    <xf numFmtId="0" fontId="8" fillId="0" borderId="32" applyAlignment="1" pivotButton="0" quotePrefix="0" xfId="0">
      <alignment horizontal="left" vertical="center" wrapText="1" readingOrder="1"/>
    </xf>
    <xf numFmtId="0" fontId="6" fillId="0" borderId="36" applyAlignment="1" pivotButton="0" quotePrefix="0" xfId="0">
      <alignment horizontal="center" vertical="center" textRotation="90"/>
    </xf>
    <xf numFmtId="0" fontId="6" fillId="0" borderId="37" applyAlignment="1" pivotButton="0" quotePrefix="0" xfId="0">
      <alignment horizontal="center" vertical="center" textRotation="90"/>
    </xf>
    <xf numFmtId="0" fontId="6" fillId="0" borderId="38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/>
    </xf>
    <xf numFmtId="165" fontId="0" fillId="5" borderId="30" applyAlignment="1" pivotButton="0" quotePrefix="0" xfId="0">
      <alignment horizontal="center" vertical="center"/>
    </xf>
    <xf numFmtId="165" fontId="0" fillId="5" borderId="31" applyAlignment="1" pivotButton="0" quotePrefix="0" xfId="0">
      <alignment horizontal="center" vertical="center"/>
    </xf>
    <xf numFmtId="165" fontId="0" fillId="5" borderId="34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 wrapText="1"/>
    </xf>
    <xf numFmtId="0" fontId="0" fillId="2" borderId="2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 wrapText="1"/>
    </xf>
    <xf numFmtId="10" fontId="5" fillId="0" borderId="2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165" fontId="0" fillId="3" borderId="2" applyAlignment="1" pivotButton="0" quotePrefix="0" xfId="0">
      <alignment horizontal="center" vertical="center" wrapText="1"/>
    </xf>
    <xf numFmtId="165" fontId="0" fillId="3" borderId="3" applyAlignment="1" pivotButton="0" quotePrefix="0" xfId="0">
      <alignment horizontal="center" vertical="center" wrapText="1"/>
    </xf>
    <xf numFmtId="165" fontId="0" fillId="3" borderId="33" applyAlignment="1" pivotButton="0" quotePrefix="0" xfId="0">
      <alignment horizontal="center" vertical="center" wrapText="1"/>
    </xf>
    <xf numFmtId="165" fontId="0" fillId="3" borderId="30" applyAlignment="1" pivotButton="0" quotePrefix="0" xfId="0">
      <alignment horizontal="center" vertical="center" wrapText="1"/>
    </xf>
    <xf numFmtId="165" fontId="0" fillId="3" borderId="31" applyAlignment="1" pivotButton="0" quotePrefix="0" xfId="0">
      <alignment horizontal="center" vertical="center" wrapText="1"/>
    </xf>
    <xf numFmtId="165" fontId="0" fillId="3" borderId="34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" fontId="0" fillId="0" borderId="30" applyAlignment="1" pivotButton="0" quotePrefix="0" xfId="0">
      <alignment horizontal="center" vertical="center"/>
    </xf>
    <xf numFmtId="1" fontId="0" fillId="0" borderId="31" applyAlignment="1" pivotButton="0" quotePrefix="0" xfId="0">
      <alignment horizontal="center" vertical="center"/>
    </xf>
    <xf numFmtId="1" fontId="0" fillId="0" borderId="32" applyAlignment="1" pivotButton="0" quotePrefix="0" xfId="0">
      <alignment horizontal="center" vertical="center"/>
    </xf>
    <xf numFmtId="0" fontId="0" fillId="0" borderId="20" applyAlignment="1" pivotButton="0" quotePrefix="0" xfId="0">
      <alignment horizontal="left" vertical="center" wrapText="1"/>
    </xf>
    <xf numFmtId="0" fontId="0" fillId="0" borderId="21" applyAlignment="1" pivotButton="0" quotePrefix="0" xfId="0">
      <alignment horizontal="left" vertical="center" wrapText="1"/>
    </xf>
    <xf numFmtId="0" fontId="11" fillId="0" borderId="8" applyAlignment="1" pivotButton="0" quotePrefix="0" xfId="0">
      <alignment horizontal="left" vertical="center"/>
    </xf>
    <xf numFmtId="0" fontId="11" fillId="0" borderId="9" applyAlignment="1" pivotButton="0" quotePrefix="0" xfId="0">
      <alignment horizontal="left" vertical="center"/>
    </xf>
    <xf numFmtId="0" fontId="7" fillId="0" borderId="35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6" fillId="0" borderId="48" applyAlignment="1" pivotButton="0" quotePrefix="0" xfId="0">
      <alignment horizontal="center" vertical="center" textRotation="90"/>
    </xf>
    <xf numFmtId="0" fontId="8" fillId="0" borderId="47" applyAlignment="1" pivotButton="0" quotePrefix="0" xfId="0">
      <alignment horizontal="left" vertical="center" wrapText="1" readingOrder="1"/>
    </xf>
    <xf numFmtId="0" fontId="0" fillId="0" borderId="35" pivotButton="0" quotePrefix="0" xfId="0"/>
    <xf numFmtId="0" fontId="0" fillId="0" borderId="40" pivotButton="0" quotePrefix="0" xfId="0"/>
    <xf numFmtId="0" fontId="6" fillId="0" borderId="36" applyAlignment="1" pivotButton="0" quotePrefix="0" xfId="0">
      <alignment horizontal="center" vertical="center"/>
    </xf>
    <xf numFmtId="0" fontId="0" fillId="0" borderId="37" pivotButton="0" quotePrefix="0" xfId="0"/>
    <xf numFmtId="0" fontId="8" fillId="0" borderId="18" applyAlignment="1" pivotButton="0" quotePrefix="0" xfId="0">
      <alignment horizontal="left" vertical="center" wrapText="1" readingOrder="1"/>
    </xf>
    <xf numFmtId="0" fontId="0" fillId="0" borderId="3" pivotButton="0" quotePrefix="0" xfId="0"/>
    <xf numFmtId="0" fontId="0" fillId="0" borderId="4" pivotButton="0" quotePrefix="0" xfId="0"/>
    <xf numFmtId="0" fontId="0" fillId="0" borderId="33" pivotButton="0" quotePrefix="0" xfId="0"/>
    <xf numFmtId="165" fontId="0" fillId="0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5" fontId="0" fillId="3" borderId="19" applyAlignment="1" pivotButton="0" quotePrefix="0" xfId="0">
      <alignment horizontal="center" vertical="center" wrapText="1"/>
    </xf>
    <xf numFmtId="165" fontId="0" fillId="5" borderId="19" applyAlignment="1" pivotButton="0" quotePrefix="0" xfId="0">
      <alignment horizontal="center" vertical="center"/>
    </xf>
    <xf numFmtId="0" fontId="0" fillId="0" borderId="38" pivotButton="0" quotePrefix="0" xfId="0"/>
    <xf numFmtId="0" fontId="8" fillId="0" borderId="20" applyAlignment="1" pivotButton="0" quotePrefix="0" xfId="0">
      <alignment horizontal="left" vertical="center" wrapText="1" readingOrder="1"/>
    </xf>
    <xf numFmtId="0" fontId="0" fillId="0" borderId="31" pivotButton="0" quotePrefix="0" xfId="0"/>
    <xf numFmtId="0" fontId="0" fillId="0" borderId="32" pivotButton="0" quotePrefix="0" xfId="0"/>
    <xf numFmtId="165" fontId="0" fillId="0" borderId="21" applyAlignment="1" pivotButton="0" quotePrefix="0" xfId="0">
      <alignment horizontal="center" vertical="center"/>
    </xf>
    <xf numFmtId="165" fontId="0" fillId="3" borderId="21" applyAlignment="1" pivotButton="0" quotePrefix="0" xfId="0">
      <alignment horizontal="center" vertical="center"/>
    </xf>
    <xf numFmtId="1" fontId="0" fillId="0" borderId="21" applyAlignment="1" pivotButton="0" quotePrefix="0" xfId="0">
      <alignment horizontal="center" vertical="center"/>
    </xf>
    <xf numFmtId="165" fontId="0" fillId="3" borderId="22" applyAlignment="1" pivotButton="0" quotePrefix="0" xfId="0">
      <alignment horizontal="center" vertical="center" wrapText="1"/>
    </xf>
    <xf numFmtId="0" fontId="0" fillId="0" borderId="34" pivotButton="0" quotePrefix="0" xfId="0"/>
    <xf numFmtId="165" fontId="0" fillId="5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2" borderId="4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10" fontId="5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9" fontId="1" fillId="4" borderId="26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0" applyAlignment="1" pivotButton="0" quotePrefix="0" xfId="0">
      <alignment horizontal="left" vertical="center" wrapText="1"/>
    </xf>
    <xf numFmtId="0" fontId="15" fillId="6" borderId="50" applyAlignment="1" pivotButton="0" quotePrefix="0" xfId="0">
      <alignment horizontal="center" vertical="center" wrapText="1"/>
    </xf>
    <xf numFmtId="0" fontId="6" fillId="0" borderId="52" applyAlignment="1" pivotButton="0" quotePrefix="0" xfId="0">
      <alignment vertical="center"/>
    </xf>
    <xf numFmtId="0" fontId="0" fillId="0" borderId="44" pivotButton="0" quotePrefix="0" xfId="0"/>
    <xf numFmtId="0" fontId="7" fillId="0" borderId="44" pivotButton="0" quotePrefix="0" xfId="0"/>
    <xf numFmtId="0" fontId="0" fillId="0" borderId="53" pivotButton="0" quotePrefix="0" xfId="0"/>
    <xf numFmtId="0" fontId="0" fillId="0" borderId="26" pivotButton="0" quotePrefix="0" xfId="0"/>
  </cellXfs>
  <cellStyles count="1">
    <cellStyle name="Normal" xfId="0" builtinId="0"/>
  </cellStyles>
  <dxfs count="1"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/>
              <a:t xml:space="preserve">BAŞARILI İŞLEM </a:t>
            </a:r>
            <a:r>
              <a:rPr lang="en-US" sz="1200" b="1"/>
              <a:t>ORANI</a:t>
            </a:r>
          </a:p>
        </rich>
      </tx>
      <layout>
        <manualLayout>
          <xMode val="edge"/>
          <yMode val="edge"/>
          <wMode val="factor"/>
          <hMode val="factor"/>
          <x val="0.185903972102181"/>
          <y val="0.0379464685880925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r-T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710203369732757"/>
          <y val="0.2023897146452849"/>
          <w val="0.7839411384849195"/>
          <h val="0.6027682172242509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tr-T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Giriş!$B$14:$D$18</f>
            </strRef>
          </cat>
          <val>
            <numRef>
              <f>Giriş!$K$14:$K$18</f>
              <numCache>
                <formatCode>0.00%</formatCode>
                <ptCount val="5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31677104"/>
        <axId val="1131681264"/>
      </barChart>
      <catAx>
        <axId val="1131677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r-TR"/>
          </a:p>
        </txPr>
        <crossAx val="1131681264"/>
        <crosses val="autoZero"/>
        <auto val="1"/>
        <lblAlgn val="ctr"/>
        <lblOffset val="100"/>
        <noMultiLvlLbl val="0"/>
      </catAx>
      <valAx>
        <axId val="113168126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r-TR"/>
          </a:p>
        </txPr>
        <crossAx val="113167710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342771091112072"/>
          <y val="0.1563072132568823"/>
          <w val="0.812069547204479"/>
          <h val="0.7259293457463109"/>
        </manualLayout>
      </layout>
      <barChart>
        <barDir val="col"/>
        <grouping val="clustered"/>
        <varyColors val="0"/>
        <ser>
          <idx val="0"/>
          <order val="0"/>
          <tx>
            <strRef>
              <f>Giriş!$AA$11</f>
              <strCache>
                <ptCount val="1"/>
                <pt idx="0">
                  <v>FREKANS GÖSTERGELERİ</v>
                </pt>
              </strCache>
            </strRef>
          </tx>
          <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tr-T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Giriş!$AK$12:$AK$16</f>
              <numCache>
                <formatCode>0</formatCode>
                <ptCount val="5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64"/>
        <overlap val="-22"/>
        <axId val="1131677104"/>
        <axId val="1131681264"/>
      </barChart>
      <catAx>
        <axId val="1131677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r-TR"/>
          </a:p>
        </txPr>
        <crossAx val="1131681264"/>
        <crosses val="autoZero"/>
        <auto val="1"/>
        <lblAlgn val="ctr"/>
        <lblOffset val="100"/>
        <noMultiLvlLbl val="0"/>
      </catAx>
      <valAx>
        <axId val="113168126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r-TR"/>
          </a:p>
        </txPr>
        <crossAx val="1131677104"/>
        <crosses val="autoZero"/>
        <crossBetween val="between"/>
      </valAx>
    </plotArea>
    <legend>
      <legendPos val="t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r-TR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FREKANS SAPMALARI</a:t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r-TR"/>
        </a:p>
      </txPr>
    </title>
    <plotArea>
      <layout/>
      <pieChart>
        <varyColors val="1"/>
        <ser>
          <idx val="0"/>
          <order val="0"/>
          <tx>
            <strRef>
              <f>Giriş!$AP$11</f>
              <strCache>
                <ptCount val="1"/>
                <pt idx="0">
                  <v>FREKANS SAPMALARI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tr-TR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Giriş!$AP$12:$AY$13</f>
              <strCache>
                <ptCount val="2"/>
                <pt idx="0">
                  <v>Toplam Frekans Sayısı</v>
                </pt>
                <pt idx="1">
                  <v>Sapma Frekans Sayısı</v>
                </pt>
              </strCache>
            </strRef>
          </cat>
          <val>
            <numRef>
              <f>Giriş!$AZ$12:$AZ$13</f>
              <numCache>
                <formatCode>General</formatCode>
                <ptCount val="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r-T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/>
              <a:t>Genel</a:t>
            </a:r>
            <a:r>
              <a:rPr lang="tr-TR" sz="1200" b="1" baseline="0"/>
              <a:t xml:space="preserve"> Durum</a:t>
            </a:r>
            <a:endParaRPr lang="tr-TR"/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r-TR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00B0F0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00B050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chemeClr val="bg2">
                  <a:lumMod val="75000"/>
                </a:schemeClr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tr-T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Giriş!$AA$12:$AJ$16</f>
              <strCache>
                <ptCount val="5"/>
                <pt idx="0">
                  <v>Toplam Frekans Sayısı</v>
                </pt>
                <pt idx="1">
                  <v>Tamamlanmış Frekans Sayısı</v>
                </pt>
                <pt idx="2">
                  <v>Gerçekleşen Frekans Sayısı</v>
                </pt>
                <pt idx="3">
                  <v>Sapma Frekans Sayısı</v>
                </pt>
                <pt idx="4">
                  <v>Kayıp Frekans Sayısı</v>
                </pt>
              </strCache>
            </strRef>
          </cat>
          <val>
            <numRef>
              <f>Giriş!$AK$12:$AK$16</f>
              <numCache>
                <formatCode>0</formatCode>
                <ptCount val="5"/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804555456"/>
        <axId val="1804556704"/>
      </barChart>
      <catAx>
        <axId val="180455545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r-TR"/>
          </a:p>
        </txPr>
        <crossAx val="1804556704"/>
        <crosses val="autoZero"/>
        <auto val="1"/>
        <lblAlgn val="ctr"/>
        <lblOffset val="100"/>
        <noMultiLvlLbl val="0"/>
      </catAx>
      <valAx>
        <axId val="18045567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r-TR"/>
          </a:p>
        </txPr>
        <crossAx val="180455545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/>
              <a:t>KAYIP FREKANS GÖSTERGELERİ</a:t>
            </a:r>
            <a:endParaRPr lang="en-US"/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r-TR"/>
        </a:p>
      </txPr>
    </title>
    <plotArea>
      <layout/>
      <pieChart>
        <varyColors val="1"/>
        <ser>
          <idx val="0"/>
          <order val="0"/>
          <tx>
            <strRef>
              <f>Giriş!$BD$11</f>
              <strCache>
                <ptCount val="1"/>
                <pt idx="0">
                  <v>KAYIP FREKANS GÖSTERGELERİ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tr-T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tr-T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tr-T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Giriş!$BD$12:$BM$13</f>
              <strCache>
                <ptCount val="2"/>
                <pt idx="0">
                  <v>Toplam Frekans Sayısı</v>
                </pt>
                <pt idx="1">
                  <v>Kayıp Frekans Sayısı</v>
                </pt>
              </strCache>
            </strRef>
          </cat>
          <val>
            <numRef>
              <f>Giriş!$BN$12:$BN$13</f>
              <numCache>
                <formatCode>General</formatCode>
                <ptCount val="2"/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r-T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17929</colOff>
      <row>18</row>
      <rowOff>26896</rowOff>
    </from>
    <to>
      <col>24</col>
      <colOff>0</colOff>
      <row>28</row>
      <rowOff>242047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25</col>
      <colOff>71718</colOff>
      <row>17</row>
      <rowOff>80681</rowOff>
    </from>
    <to>
      <col>40</col>
      <colOff>26894</colOff>
      <row>29</row>
      <rowOff>141515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41</col>
      <colOff>1</colOff>
      <row>14</row>
      <rowOff>89647</rowOff>
    </from>
    <to>
      <col>53</col>
      <colOff>179294</colOff>
      <row>28</row>
      <rowOff>233082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16</col>
      <colOff>286872</colOff>
      <row>1</row>
      <rowOff>17930</rowOff>
    </from>
    <to>
      <col>41</col>
      <colOff>98612</colOff>
      <row>7</row>
      <rowOff>331694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55</col>
      <colOff>8965</colOff>
      <row>14</row>
      <rowOff>89648</rowOff>
    </from>
    <to>
      <col>67</col>
      <colOff>0</colOff>
      <row>28</row>
      <rowOff>226041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R31"/>
  <sheetViews>
    <sheetView showGridLines="0" tabSelected="1" zoomScale="85" zoomScaleNormal="85" workbookViewId="0">
      <selection activeCell="W30" sqref="W30"/>
    </sheetView>
  </sheetViews>
  <sheetFormatPr baseColWidth="8" defaultRowHeight="14.4"/>
  <cols>
    <col width="2.6640625" customWidth="1" style="42" min="1" max="1"/>
    <col width="4.44140625" customWidth="1" style="42" min="2" max="4"/>
    <col width="3.109375" customWidth="1" style="42" min="5" max="5"/>
    <col width="5.6640625" customWidth="1" style="42" min="6" max="6"/>
    <col width="3.109375" customWidth="1" style="42" min="7" max="7"/>
    <col width="5" customWidth="1" style="42" min="8" max="10"/>
    <col width="3.88671875" customWidth="1" style="42" min="11" max="14"/>
    <col width="5.109375" customWidth="1" style="42" min="15" max="16"/>
    <col width="5" customWidth="1" style="42" min="17" max="17"/>
    <col width="1.33203125" customWidth="1" style="42" min="18" max="18"/>
    <col width="4.5546875" customWidth="1" style="42" min="19" max="20"/>
    <col width="3.109375" customWidth="1" style="42" min="21" max="24"/>
    <col width="0.44140625" customWidth="1" style="42" min="25" max="25"/>
    <col width="2.33203125" customWidth="1" style="42" min="26" max="26"/>
    <col width="3.109375" customWidth="1" style="42" min="27" max="29"/>
    <col width="3.33203125" customWidth="1" style="42" min="30" max="33"/>
    <col width="3.109375" customWidth="1" style="42" min="34" max="40"/>
    <col width="1.44140625" customWidth="1" style="42" min="41" max="41"/>
    <col width="3.109375" customWidth="1" style="42" min="42" max="47"/>
    <col width="2.33203125" customWidth="1" style="42" min="48" max="50"/>
    <col width="3.109375" customWidth="1" style="42" min="51" max="54"/>
    <col width="1.5546875" customWidth="1" style="42" min="55" max="55"/>
    <col width="3.109375" customWidth="1" style="42" min="56" max="58"/>
    <col width="3.33203125" customWidth="1" style="42" min="59" max="65"/>
    <col width="4" customWidth="1" style="42" min="66" max="66"/>
    <col width="5.33203125" customWidth="1" style="42" min="67" max="68"/>
    <col width="1" customWidth="1" style="42" min="69" max="69"/>
    <col width="3.109375" customWidth="1" style="42" min="70" max="71"/>
  </cols>
  <sheetData>
    <row r="1" ht="4.8" customHeight="1" s="42" thickBot="1">
      <c r="B1" s="92" t="n"/>
      <c r="Q1" s="16" t="n"/>
      <c r="R1" s="16" t="n"/>
      <c r="S1" s="70" t="n"/>
    </row>
    <row r="2" ht="20.4" customHeight="1" s="42">
      <c r="B2" s="151" t="inlineStr">
        <is>
          <t>PARAMETRELER</t>
        </is>
      </c>
      <c r="C2" s="152" t="inlineStr">
        <is>
          <t>Firma</t>
        </is>
      </c>
      <c r="D2" s="153" t="n"/>
      <c r="E2" s="153" t="n"/>
      <c r="F2" s="154" t="n"/>
      <c r="G2" s="97" t="n"/>
      <c r="H2" s="153" t="n"/>
      <c r="I2" s="153" t="n"/>
      <c r="J2" s="153" t="n"/>
      <c r="K2" s="153" t="n"/>
      <c r="L2" s="153" t="n"/>
      <c r="M2" s="153" t="n"/>
      <c r="N2" s="153" t="n"/>
      <c r="O2" s="153" t="n"/>
      <c r="P2" s="154" t="n"/>
      <c r="S2" s="21" t="n"/>
      <c r="T2" s="69" t="n"/>
      <c r="Z2" s="69" t="n"/>
      <c r="AQ2" s="155" t="inlineStr">
        <is>
          <t>HAKEDİŞ FAKTÖRLERİ</t>
        </is>
      </c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7" t="n"/>
    </row>
    <row r="3" ht="31.8" customHeight="1" s="42">
      <c r="B3" s="156" t="n"/>
      <c r="C3" s="157" t="inlineStr">
        <is>
          <t>Proje:</t>
        </is>
      </c>
      <c r="D3" s="153" t="n"/>
      <c r="E3" s="153" t="n"/>
      <c r="F3" s="154" t="n"/>
      <c r="G3" s="97" t="inlineStr"/>
      <c r="H3" s="153" t="n"/>
      <c r="I3" s="153" t="n"/>
      <c r="J3" s="153" t="n"/>
      <c r="K3" s="153" t="n"/>
      <c r="L3" s="153" t="n"/>
      <c r="M3" s="153" t="n"/>
      <c r="N3" s="153" t="n"/>
      <c r="O3" s="153" t="n"/>
      <c r="P3" s="154" t="n"/>
    </row>
    <row r="4" ht="20.4" customHeight="1" s="42">
      <c r="B4" s="156" t="n"/>
      <c r="C4" s="157" t="inlineStr">
        <is>
          <t>Üst Lokasyon:</t>
        </is>
      </c>
      <c r="D4" s="158" t="n"/>
      <c r="E4" s="158" t="n"/>
      <c r="F4" s="159" t="n"/>
      <c r="G4" s="93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9" t="n"/>
      <c r="S4" s="57" t="n"/>
      <c r="T4" s="56" t="n"/>
      <c r="Z4" s="57" t="n"/>
      <c r="AQ4" s="67" t="inlineStr">
        <is>
          <t>GRUP TANIMI</t>
        </is>
      </c>
      <c r="AR4" s="158" t="n"/>
      <c r="AS4" s="158" t="n"/>
      <c r="AT4" s="158" t="n"/>
      <c r="AU4" s="159" t="n"/>
      <c r="AV4" s="74" t="inlineStr">
        <is>
          <t>HEDEF FREKANS</t>
        </is>
      </c>
      <c r="AW4" s="158" t="n"/>
      <c r="AX4" s="158" t="n"/>
      <c r="AY4" s="159" t="n"/>
      <c r="AZ4" s="74" t="inlineStr">
        <is>
          <t>BİRİM FİYAT</t>
        </is>
      </c>
      <c r="BA4" s="158" t="n"/>
      <c r="BB4" s="159" t="n"/>
      <c r="BC4" s="74" t="inlineStr">
        <is>
          <t>TOPLAM HAKEDİŞ</t>
        </is>
      </c>
      <c r="BD4" s="158" t="n"/>
      <c r="BE4" s="158" t="n"/>
      <c r="BF4" s="159" t="n"/>
      <c r="BG4" s="74" t="inlineStr">
        <is>
          <t>KAYIP FREKANS</t>
        </is>
      </c>
      <c r="BH4" s="158" t="n"/>
      <c r="BI4" s="159" t="n"/>
      <c r="BJ4" s="74" t="inlineStr">
        <is>
          <t>KAYIP HAKEDİŞ</t>
        </is>
      </c>
      <c r="BK4" s="158" t="n"/>
      <c r="BL4" s="159" t="n"/>
      <c r="BM4" s="128" t="inlineStr">
        <is>
          <t>GERÇEKLEŞEN HAKEDİŞ</t>
        </is>
      </c>
      <c r="BN4" s="158" t="n"/>
      <c r="BO4" s="158" t="n"/>
      <c r="BP4" s="160" t="n"/>
    </row>
    <row r="5" ht="20.4" customHeight="1" s="42">
      <c r="B5" s="156" t="n"/>
      <c r="C5" s="157" t="inlineStr">
        <is>
          <t>Alt Lokasyon</t>
        </is>
      </c>
      <c r="D5" s="158" t="n"/>
      <c r="E5" s="158" t="n"/>
      <c r="F5" s="159" t="n"/>
      <c r="G5" s="93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9" t="n"/>
      <c r="S5" s="57" t="n"/>
      <c r="T5" s="56" t="n"/>
      <c r="Z5" s="57" t="n"/>
      <c r="AQ5" s="67" t="n"/>
      <c r="AR5" s="158" t="n"/>
      <c r="AS5" s="158" t="n"/>
      <c r="AT5" s="158" t="n"/>
      <c r="AU5" s="159" t="n"/>
      <c r="AV5" s="111" t="n"/>
      <c r="AW5" s="158" t="n"/>
      <c r="AX5" s="158" t="n"/>
      <c r="AY5" s="159" t="n"/>
      <c r="AZ5" s="161" t="n"/>
      <c r="BA5" s="158" t="n"/>
      <c r="BB5" s="159" t="n"/>
      <c r="BC5" s="162" t="n"/>
      <c r="BD5" s="158" t="n"/>
      <c r="BE5" s="158" t="n"/>
      <c r="BF5" s="159" t="n"/>
      <c r="BG5" s="58" t="n"/>
      <c r="BH5" s="158" t="n"/>
      <c r="BI5" s="159" t="n"/>
      <c r="BJ5" s="163" t="n"/>
      <c r="BK5" s="158" t="n"/>
      <c r="BL5" s="160" t="n"/>
      <c r="BM5" s="164" t="n"/>
      <c r="BN5" s="158" t="n"/>
      <c r="BO5" s="158" t="n"/>
      <c r="BP5" s="160" t="n"/>
    </row>
    <row r="6" ht="20.4" customHeight="1" s="42">
      <c r="B6" s="156" t="n"/>
      <c r="C6" s="157" t="inlineStr">
        <is>
          <t>RaporTarihi:</t>
        </is>
      </c>
      <c r="D6" s="158" t="n"/>
      <c r="E6" s="158" t="n"/>
      <c r="F6" s="159" t="n"/>
      <c r="G6" s="93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9" t="n"/>
      <c r="S6" s="57" t="n"/>
      <c r="T6" s="56" t="n"/>
      <c r="Z6" s="57" t="n"/>
      <c r="AQ6" s="67" t="n"/>
      <c r="AR6" s="158" t="n"/>
      <c r="AS6" s="158" t="n"/>
      <c r="AT6" s="158" t="n"/>
      <c r="AU6" s="159" t="n"/>
      <c r="AV6" s="111" t="n"/>
      <c r="AW6" s="158" t="n"/>
      <c r="AX6" s="158" t="n"/>
      <c r="AY6" s="159" t="n"/>
      <c r="AZ6" s="161" t="n"/>
      <c r="BA6" s="158" t="n"/>
      <c r="BB6" s="159" t="n"/>
      <c r="BC6" s="162" t="n"/>
      <c r="BD6" s="158" t="n"/>
      <c r="BE6" s="158" t="n"/>
      <c r="BF6" s="159" t="n"/>
      <c r="BG6" s="58" t="n"/>
      <c r="BH6" s="158" t="n"/>
      <c r="BI6" s="159" t="n"/>
      <c r="BJ6" s="163" t="n"/>
      <c r="BK6" s="158" t="n"/>
      <c r="BL6" s="160" t="n"/>
      <c r="BM6" s="164" t="n"/>
      <c r="BN6" s="158" t="n"/>
      <c r="BO6" s="158" t="n"/>
      <c r="BP6" s="160" t="n"/>
    </row>
    <row r="7" ht="20.4" customHeight="1" s="42" thickBot="1">
      <c r="B7" s="165" t="n"/>
      <c r="C7" s="157" t="inlineStr">
        <is>
          <t>Rapor Gün Sayısı:</t>
        </is>
      </c>
      <c r="D7" s="158" t="n"/>
      <c r="E7" s="158" t="n"/>
      <c r="F7" s="159" t="n"/>
      <c r="G7" s="93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9" t="n"/>
      <c r="S7" s="57" t="n"/>
      <c r="T7" s="56" t="n"/>
      <c r="Z7" s="57" t="n"/>
      <c r="AQ7" s="67" t="n"/>
      <c r="AR7" s="158" t="n"/>
      <c r="AS7" s="158" t="n"/>
      <c r="AT7" s="158" t="n"/>
      <c r="AU7" s="159" t="n"/>
      <c r="AV7" s="111" t="n"/>
      <c r="AW7" s="158" t="n"/>
      <c r="AX7" s="158" t="n"/>
      <c r="AY7" s="159" t="n"/>
      <c r="AZ7" s="161" t="n"/>
      <c r="BA7" s="158" t="n"/>
      <c r="BB7" s="159" t="n"/>
      <c r="BC7" s="162" t="n"/>
      <c r="BD7" s="158" t="n"/>
      <c r="BE7" s="158" t="n"/>
      <c r="BF7" s="159" t="n"/>
      <c r="BG7" s="58" t="n"/>
      <c r="BH7" s="158" t="n"/>
      <c r="BI7" s="159" t="n"/>
      <c r="BJ7" s="163" t="n"/>
      <c r="BK7" s="158" t="n"/>
      <c r="BL7" s="160" t="n"/>
      <c r="BM7" s="164" t="n"/>
      <c r="BN7" s="158" t="n"/>
      <c r="BO7" s="158" t="n"/>
      <c r="BP7" s="160" t="n"/>
    </row>
    <row r="8" ht="20.4" customHeight="1" s="42" thickBot="1">
      <c r="B8" s="165" t="n"/>
      <c r="C8" s="166" t="inlineStr">
        <is>
          <t>Raporu Alan:</t>
        </is>
      </c>
      <c r="D8" s="167" t="n"/>
      <c r="E8" s="167" t="n"/>
      <c r="F8" s="168" t="n"/>
      <c r="G8" s="95" t="n"/>
      <c r="H8" s="167" t="n"/>
      <c r="I8" s="167" t="n"/>
      <c r="J8" s="167" t="n"/>
      <c r="K8" s="167" t="n"/>
      <c r="L8" s="167" t="n"/>
      <c r="M8" s="167" t="n"/>
      <c r="N8" s="167" t="n"/>
      <c r="O8" s="167" t="n"/>
      <c r="P8" s="168" t="n"/>
      <c r="S8" s="57" t="n"/>
      <c r="T8" s="56" t="n"/>
      <c r="Z8" s="57" t="n"/>
      <c r="AQ8" s="67" t="n"/>
      <c r="AR8" s="158" t="n"/>
      <c r="AS8" s="158" t="n"/>
      <c r="AT8" s="158" t="n"/>
      <c r="AU8" s="159" t="n"/>
      <c r="AV8" s="111" t="n"/>
      <c r="AW8" s="158" t="n"/>
      <c r="AX8" s="158" t="n"/>
      <c r="AY8" s="159" t="n"/>
      <c r="AZ8" s="161" t="n"/>
      <c r="BA8" s="158" t="n"/>
      <c r="BB8" s="159" t="n"/>
      <c r="BC8" s="162" t="n"/>
      <c r="BD8" s="158" t="n"/>
      <c r="BE8" s="158" t="n"/>
      <c r="BF8" s="159" t="n"/>
      <c r="BG8" s="58" t="n"/>
      <c r="BH8" s="158" t="n"/>
      <c r="BI8" s="159" t="n"/>
      <c r="BJ8" s="163" t="n"/>
      <c r="BK8" s="158" t="n"/>
      <c r="BL8" s="160" t="n"/>
      <c r="BM8" s="164" t="n"/>
      <c r="BN8" s="158" t="n"/>
      <c r="BO8" s="158" t="n"/>
      <c r="BP8" s="160" t="n"/>
    </row>
    <row r="9" ht="7.95" customHeight="1" s="42" thickBot="1">
      <c r="S9" s="57" t="n"/>
      <c r="T9" s="56" t="n"/>
      <c r="Z9" s="57" t="n"/>
      <c r="AQ9" s="141" t="n"/>
      <c r="AR9" s="167" t="n"/>
      <c r="AS9" s="167" t="n"/>
      <c r="AT9" s="167" t="n"/>
      <c r="AU9" s="168" t="n"/>
      <c r="AV9" s="112" t="n"/>
      <c r="AW9" s="167" t="n"/>
      <c r="AX9" s="167" t="n"/>
      <c r="AY9" s="168" t="n"/>
      <c r="AZ9" s="169" t="n"/>
      <c r="BA9" s="167" t="n"/>
      <c r="BB9" s="168" t="n"/>
      <c r="BC9" s="170" t="n"/>
      <c r="BD9" s="167" t="n"/>
      <c r="BE9" s="167" t="n"/>
      <c r="BF9" s="168" t="n"/>
      <c r="BG9" s="171" t="n"/>
      <c r="BH9" s="167" t="n"/>
      <c r="BI9" s="168" t="n"/>
      <c r="BJ9" s="172" t="n"/>
      <c r="BK9" s="167" t="n"/>
      <c r="BL9" s="173" t="n"/>
      <c r="BM9" s="174" t="n"/>
      <c r="BN9" s="167" t="n"/>
      <c r="BO9" s="167" t="n"/>
      <c r="BP9" s="173" t="n"/>
    </row>
    <row r="10" ht="7.95" customHeight="1" s="42">
      <c r="B10" s="3" t="n"/>
      <c r="C10" s="3" t="n"/>
      <c r="D10" s="3" t="n"/>
      <c r="E10" s="3" t="n"/>
      <c r="F10" s="3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S10" s="57" t="n"/>
      <c r="T10" s="56" t="n"/>
      <c r="Z10" s="57" t="n"/>
    </row>
    <row r="11" ht="15.6" customHeight="1" s="42">
      <c r="B11" s="5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7" t="n"/>
    </row>
    <row r="12" ht="19.95" customHeight="1" s="42">
      <c r="B12" s="190" t="inlineStr">
        <is>
          <t>GRUP FREKANS GÖSTERGELERİ</t>
        </is>
      </c>
      <c r="D12" s="191" t="n"/>
      <c r="E12" s="192" t="n"/>
      <c r="G12" s="191" t="n"/>
      <c r="H12" s="192" t="n"/>
      <c r="J12" s="191" t="n"/>
      <c r="K12" s="192" t="n"/>
      <c r="N12" s="191" t="n"/>
      <c r="O12" s="192" t="n"/>
      <c r="Q12" s="191" t="n"/>
      <c r="R12" s="192" t="n"/>
      <c r="U12" s="191" t="n"/>
      <c r="V12" s="192" t="n"/>
      <c r="X12" s="191" t="n"/>
      <c r="Y12" s="33" t="n"/>
      <c r="Z12" s="33" t="n"/>
      <c r="AA12" s="34" t="inlineStr">
        <is>
          <t>FREKANS GÖSTERGELERİ</t>
        </is>
      </c>
      <c r="AK12" s="33" t="n"/>
      <c r="AO12" s="33" t="n"/>
      <c r="AP12" s="34" t="inlineStr">
        <is>
          <t>FREKANS SAPMALARI</t>
        </is>
      </c>
      <c r="AZ12" s="33" t="n"/>
      <c r="BC12" s="33" t="n"/>
      <c r="BD12" s="34" t="inlineStr">
        <is>
          <t>KAYIP FREKANS GÖSTERGELERİ</t>
        </is>
      </c>
      <c r="BN12" s="33" t="n"/>
      <c r="BP12" s="15" t="n"/>
    </row>
    <row r="13" ht="19.95" customHeight="1" s="42">
      <c r="B13" s="9" t="n"/>
      <c r="D13" s="191" t="n"/>
      <c r="G13" s="191" t="n"/>
      <c r="J13" s="191" t="n"/>
      <c r="N13" s="191" t="n"/>
      <c r="Q13" s="191" t="n"/>
      <c r="U13" s="191" t="n"/>
      <c r="X13" s="191" t="n"/>
      <c r="AA13" s="53" t="inlineStr">
        <is>
          <t>Toplam Frekans Sayısı</t>
        </is>
      </c>
      <c r="AB13" s="158" t="n"/>
      <c r="AC13" s="158" t="n"/>
      <c r="AD13" s="158" t="n"/>
      <c r="AE13" s="158" t="n"/>
      <c r="AF13" s="158" t="n"/>
      <c r="AG13" s="158" t="n"/>
      <c r="AH13" s="158" t="n"/>
      <c r="AI13" s="158" t="n"/>
      <c r="AJ13" s="159" t="n"/>
      <c r="AK13" s="54" t="n"/>
      <c r="AL13" s="158" t="n"/>
      <c r="AM13" s="158" t="n"/>
      <c r="AN13" s="159" t="n"/>
      <c r="AP13" s="53" t="inlineStr">
        <is>
          <t>Toplam Frekans Sayısı</t>
        </is>
      </c>
      <c r="AQ13" s="158" t="n"/>
      <c r="AR13" s="158" t="n"/>
      <c r="AS13" s="158" t="n"/>
      <c r="AT13" s="158" t="n"/>
      <c r="AU13" s="158" t="n"/>
      <c r="AV13" s="158" t="n"/>
      <c r="AW13" s="158" t="n"/>
      <c r="AX13" s="158" t="n"/>
      <c r="AY13" s="159" t="n"/>
      <c r="AZ13" s="54" t="n"/>
      <c r="BA13" s="158" t="n"/>
      <c r="BB13" s="159" t="n"/>
      <c r="BC13" s="16" t="n"/>
      <c r="BD13" s="53" t="inlineStr">
        <is>
          <t>Toplam Frekans Sayısı</t>
        </is>
      </c>
      <c r="BE13" s="158" t="n"/>
      <c r="BF13" s="158" t="n"/>
      <c r="BG13" s="158" t="n"/>
      <c r="BH13" s="158" t="n"/>
      <c r="BI13" s="158" t="n"/>
      <c r="BJ13" s="158" t="n"/>
      <c r="BK13" s="158" t="n"/>
      <c r="BL13" s="158" t="n"/>
      <c r="BM13" s="159" t="n"/>
      <c r="BN13" s="54" t="n"/>
      <c r="BO13" s="159" t="n"/>
      <c r="BP13" s="8" t="n"/>
      <c r="BR13" t="inlineStr">
        <is>
          <t>"</t>
        </is>
      </c>
    </row>
    <row r="14" ht="22.2" customHeight="1" s="42">
      <c r="B14" s="193" t="n"/>
      <c r="C14" s="179" t="n"/>
      <c r="D14" s="180" t="n"/>
      <c r="E14" s="194" t="n"/>
      <c r="F14" s="179" t="n"/>
      <c r="G14" s="180" t="n"/>
      <c r="H14" s="194" t="n"/>
      <c r="I14" s="179" t="n"/>
      <c r="J14" s="180" t="n"/>
      <c r="K14" s="194" t="n"/>
      <c r="L14" s="179" t="n"/>
      <c r="M14" s="179" t="n"/>
      <c r="N14" s="180" t="n"/>
      <c r="O14" s="194" t="n"/>
      <c r="P14" s="179" t="n"/>
      <c r="Q14" s="180" t="n"/>
      <c r="R14" s="194" t="n"/>
      <c r="S14" s="179" t="n"/>
      <c r="T14" s="179" t="n"/>
      <c r="U14" s="180" t="n"/>
      <c r="V14" s="180" t="n"/>
      <c r="W14" s="179" t="n"/>
      <c r="X14" s="180" t="n"/>
      <c r="AA14" s="53" t="inlineStr">
        <is>
          <t>Tamamlanmış Frekans Sayısı</t>
        </is>
      </c>
      <c r="AB14" s="158" t="n"/>
      <c r="AC14" s="158" t="n"/>
      <c r="AD14" s="158" t="n"/>
      <c r="AE14" s="158" t="n"/>
      <c r="AF14" s="158" t="n"/>
      <c r="AG14" s="158" t="n"/>
      <c r="AH14" s="158" t="n"/>
      <c r="AI14" s="158" t="n"/>
      <c r="AJ14" s="159" t="n"/>
      <c r="AK14" s="60" t="n"/>
      <c r="AL14" s="158" t="n"/>
      <c r="AM14" s="158" t="n"/>
      <c r="AN14" s="159" t="n"/>
      <c r="AP14" s="53" t="inlineStr">
        <is>
          <t>Sapma Frekans Sayısı</t>
        </is>
      </c>
      <c r="AQ14" s="158" t="n"/>
      <c r="AR14" s="158" t="n"/>
      <c r="AS14" s="158" t="n"/>
      <c r="AT14" s="158" t="n"/>
      <c r="AU14" s="158" t="n"/>
      <c r="AV14" s="158" t="n"/>
      <c r="AW14" s="158" t="n"/>
      <c r="AX14" s="158" t="n"/>
      <c r="AY14" s="159" t="n"/>
      <c r="AZ14" s="54" t="n"/>
      <c r="BA14" s="158" t="n"/>
      <c r="BB14" s="159" t="n"/>
      <c r="BC14" s="16" t="n"/>
      <c r="BD14" s="53" t="inlineStr">
        <is>
          <t>Kayıp Frekans Sayısı</t>
        </is>
      </c>
      <c r="BE14" s="158" t="n"/>
      <c r="BF14" s="158" t="n"/>
      <c r="BG14" s="158" t="n"/>
      <c r="BH14" s="158" t="n"/>
      <c r="BI14" s="158" t="n"/>
      <c r="BJ14" s="158" t="n"/>
      <c r="BK14" s="158" t="n"/>
      <c r="BL14" s="158" t="n"/>
      <c r="BM14" s="159" t="n"/>
      <c r="BN14" s="54" t="n"/>
      <c r="BO14" s="159" t="n"/>
      <c r="BP14" s="8" t="n"/>
      <c r="BQ14" s="13" t="n">
        <v>0.3</v>
      </c>
    </row>
    <row r="15" ht="22.2" customHeight="1" s="42">
      <c r="B15" s="90" t="n"/>
      <c r="C15" s="158" t="n"/>
      <c r="D15" s="159" t="n"/>
      <c r="E15" s="59" t="n"/>
      <c r="F15" s="158" t="n"/>
      <c r="G15" s="159" t="n"/>
      <c r="H15" s="58" t="n"/>
      <c r="I15" s="158" t="n"/>
      <c r="J15" s="159" t="n"/>
      <c r="K15" s="86" t="n"/>
      <c r="L15" s="158" t="n"/>
      <c r="M15" s="158" t="n"/>
      <c r="N15" s="159" t="n"/>
      <c r="O15" s="58" t="n"/>
      <c r="P15" s="158" t="n"/>
      <c r="Q15" s="159" t="n"/>
      <c r="R15" s="58" t="n"/>
      <c r="S15" s="158" t="n"/>
      <c r="T15" s="158" t="n"/>
      <c r="U15" s="159" t="n"/>
      <c r="V15" s="182" t="n"/>
      <c r="W15" s="158" t="n"/>
      <c r="X15" s="159" t="n"/>
      <c r="AA15" s="53" t="inlineStr">
        <is>
          <t>Gerçekleşen Frekans Sayısı</t>
        </is>
      </c>
      <c r="AB15" s="158" t="n"/>
      <c r="AC15" s="158" t="n"/>
      <c r="AD15" s="158" t="n"/>
      <c r="AE15" s="158" t="n"/>
      <c r="AF15" s="158" t="n"/>
      <c r="AG15" s="158" t="n"/>
      <c r="AH15" s="158" t="n"/>
      <c r="AI15" s="158" t="n"/>
      <c r="AJ15" s="159" t="n"/>
      <c r="AK15" s="60" t="n"/>
      <c r="AL15" s="158" t="n"/>
      <c r="AM15" s="158" t="n"/>
      <c r="AN15" s="159" t="n"/>
      <c r="AP15" s="53" t="inlineStr">
        <is>
          <t>Sapma Frekans Oranı</t>
        </is>
      </c>
      <c r="AQ15" s="158" t="n"/>
      <c r="AR15" s="158" t="n"/>
      <c r="AS15" s="158" t="n"/>
      <c r="AT15" s="158" t="n"/>
      <c r="AU15" s="158" t="n"/>
      <c r="AV15" s="158" t="n"/>
      <c r="AW15" s="158" t="n"/>
      <c r="AX15" s="158" t="n"/>
      <c r="AY15" s="159" t="n"/>
      <c r="AZ15" s="55" t="n"/>
      <c r="BA15" s="158" t="n"/>
      <c r="BB15" s="159" t="n"/>
      <c r="BC15" s="16" t="n"/>
      <c r="BD15" s="53" t="inlineStr">
        <is>
          <t>Kayıp Frekans Oranı</t>
        </is>
      </c>
      <c r="BE15" s="158" t="n"/>
      <c r="BF15" s="158" t="n"/>
      <c r="BG15" s="158" t="n"/>
      <c r="BH15" s="158" t="n"/>
      <c r="BI15" s="158" t="n"/>
      <c r="BJ15" s="158" t="n"/>
      <c r="BK15" s="158" t="n"/>
      <c r="BL15" s="158" t="n"/>
      <c r="BM15" s="159" t="n"/>
      <c r="BN15" s="55" t="n"/>
      <c r="BO15" s="159" t="n"/>
      <c r="BP15" s="8" t="n"/>
      <c r="BQ15" t="n">
        <v>0.2</v>
      </c>
    </row>
    <row r="16" ht="22.2" customHeight="1" s="42">
      <c r="B16" s="90" t="n"/>
      <c r="C16" s="158" t="n"/>
      <c r="D16" s="159" t="n"/>
      <c r="E16" s="59" t="n"/>
      <c r="F16" s="158" t="n"/>
      <c r="G16" s="159" t="n"/>
      <c r="H16" s="59" t="n"/>
      <c r="I16" s="158" t="n"/>
      <c r="J16" s="159" t="n"/>
      <c r="K16" s="86" t="n"/>
      <c r="L16" s="158" t="n"/>
      <c r="M16" s="158" t="n"/>
      <c r="N16" s="159" t="n"/>
      <c r="O16" s="58" t="n"/>
      <c r="P16" s="158" t="n"/>
      <c r="Q16" s="159" t="n"/>
      <c r="R16" s="58" t="n"/>
      <c r="S16" s="158" t="n"/>
      <c r="T16" s="158" t="n"/>
      <c r="U16" s="159" t="n"/>
      <c r="V16" s="182" t="n"/>
      <c r="W16" s="158" t="n"/>
      <c r="X16" s="159" t="n"/>
      <c r="AA16" s="53" t="inlineStr">
        <is>
          <t>Sapma Frekans Sayısı</t>
        </is>
      </c>
      <c r="AB16" s="158" t="n"/>
      <c r="AC16" s="158" t="n"/>
      <c r="AD16" s="158" t="n"/>
      <c r="AE16" s="158" t="n"/>
      <c r="AF16" s="158" t="n"/>
      <c r="AG16" s="158" t="n"/>
      <c r="AH16" s="158" t="n"/>
      <c r="AI16" s="158" t="n"/>
      <c r="AJ16" s="159" t="n"/>
      <c r="AK16" s="54" t="n"/>
      <c r="AL16" s="158" t="n"/>
      <c r="AM16" s="158" t="n"/>
      <c r="AN16" s="159" t="n"/>
      <c r="BP16" s="8" t="n"/>
    </row>
    <row r="17" ht="22.2" customHeight="1" s="42">
      <c r="B17" s="90" t="n"/>
      <c r="C17" s="158" t="n"/>
      <c r="D17" s="159" t="n"/>
      <c r="E17" s="59" t="n"/>
      <c r="F17" s="158" t="n"/>
      <c r="G17" s="159" t="n"/>
      <c r="H17" s="59" t="n"/>
      <c r="I17" s="158" t="n"/>
      <c r="J17" s="159" t="n"/>
      <c r="K17" s="86" t="n"/>
      <c r="L17" s="158" t="n"/>
      <c r="M17" s="158" t="n"/>
      <c r="N17" s="159" t="n"/>
      <c r="O17" s="58" t="n"/>
      <c r="P17" s="158" t="n"/>
      <c r="Q17" s="159" t="n"/>
      <c r="R17" s="58" t="n"/>
      <c r="S17" s="158" t="n"/>
      <c r="T17" s="158" t="n"/>
      <c r="U17" s="159" t="n"/>
      <c r="V17" s="182" t="n"/>
      <c r="W17" s="158" t="n"/>
      <c r="X17" s="159" t="n"/>
      <c r="AA17" s="53" t="inlineStr">
        <is>
          <t>Kayıp Frekans Sayısı</t>
        </is>
      </c>
      <c r="AB17" s="158" t="n"/>
      <c r="AC17" s="158" t="n"/>
      <c r="AD17" s="158" t="n"/>
      <c r="AE17" s="158" t="n"/>
      <c r="AF17" s="158" t="n"/>
      <c r="AG17" s="158" t="n"/>
      <c r="AH17" s="158" t="n"/>
      <c r="AI17" s="158" t="n"/>
      <c r="AJ17" s="159" t="n"/>
      <c r="AK17" s="54" t="n"/>
      <c r="AL17" s="158" t="n"/>
      <c r="AM17" s="158" t="n"/>
      <c r="AN17" s="159" t="n"/>
      <c r="BP17" s="8" t="n"/>
    </row>
    <row r="18" ht="22.2" customHeight="1" s="42">
      <c r="B18" s="90" t="n"/>
      <c r="C18" s="158" t="n"/>
      <c r="D18" s="159" t="n"/>
      <c r="E18" s="59" t="n"/>
      <c r="F18" s="158" t="n"/>
      <c r="G18" s="159" t="n"/>
      <c r="H18" s="58" t="n"/>
      <c r="I18" s="158" t="n"/>
      <c r="J18" s="159" t="n"/>
      <c r="K18" s="86" t="n"/>
      <c r="L18" s="158" t="n"/>
      <c r="M18" s="158" t="n"/>
      <c r="N18" s="159" t="n"/>
      <c r="O18" s="58" t="n"/>
      <c r="P18" s="158" t="n"/>
      <c r="Q18" s="159" t="n"/>
      <c r="R18" s="58" t="n"/>
      <c r="S18" s="158" t="n"/>
      <c r="T18" s="158" t="n"/>
      <c r="U18" s="159" t="n"/>
      <c r="V18" s="182" t="n"/>
      <c r="W18" s="158" t="n"/>
      <c r="X18" s="159" t="n"/>
      <c r="AA18" s="53" t="inlineStr">
        <is>
          <t>Başarı Ortalaması</t>
        </is>
      </c>
      <c r="AB18" s="158" t="n"/>
      <c r="AC18" s="158" t="n"/>
      <c r="AD18" s="158" t="n"/>
      <c r="AE18" s="158" t="n"/>
      <c r="AF18" s="158" t="n"/>
      <c r="AG18" s="158" t="n"/>
      <c r="AH18" s="158" t="n"/>
      <c r="AI18" s="158" t="n"/>
      <c r="AJ18" s="159" t="n"/>
      <c r="AK18" s="55" t="n"/>
      <c r="AL18" s="158" t="n"/>
      <c r="AM18" s="158" t="n"/>
      <c r="AN18" s="159" t="n"/>
      <c r="BP18" s="8" t="n"/>
    </row>
    <row r="19">
      <c r="B19" s="90" t="n"/>
      <c r="C19" s="158" t="n"/>
      <c r="D19" s="159" t="n"/>
      <c r="E19" s="59" t="n"/>
      <c r="F19" s="158" t="n"/>
      <c r="G19" s="159" t="n"/>
      <c r="H19" s="58" t="n"/>
      <c r="I19" s="158" t="n"/>
      <c r="J19" s="159" t="n"/>
      <c r="K19" s="86" t="n"/>
      <c r="L19" s="158" t="n"/>
      <c r="M19" s="158" t="n"/>
      <c r="N19" s="159" t="n"/>
      <c r="O19" s="58" t="n"/>
      <c r="P19" s="158" t="n"/>
      <c r="Q19" s="159" t="n"/>
      <c r="R19" s="58" t="n"/>
      <c r="S19" s="158" t="n"/>
      <c r="T19" s="158" t="n"/>
      <c r="U19" s="159" t="n"/>
      <c r="V19" s="182" t="n"/>
      <c r="W19" s="158" t="n"/>
      <c r="X19" s="159" t="n"/>
      <c r="BP19" s="8" t="n"/>
    </row>
    <row r="20">
      <c r="B20" s="9" t="n"/>
      <c r="BP20" s="8" t="n"/>
    </row>
    <row r="21">
      <c r="B21" s="9" t="n"/>
      <c r="BP21" s="8" t="n"/>
    </row>
    <row r="22">
      <c r="B22" s="9" t="n"/>
      <c r="BP22" s="8" t="n"/>
    </row>
    <row r="23">
      <c r="B23" s="9" t="n"/>
      <c r="BP23" s="8" t="n"/>
    </row>
    <row r="24">
      <c r="B24" s="9" t="n"/>
      <c r="BP24" s="8" t="n"/>
    </row>
    <row r="25">
      <c r="B25" s="9" t="n"/>
      <c r="BP25" s="8" t="n"/>
    </row>
    <row r="26">
      <c r="B26" s="9" t="n"/>
      <c r="BP26" s="8" t="n"/>
    </row>
    <row r="27">
      <c r="B27" s="9" t="n"/>
      <c r="BP27" s="8" t="n"/>
    </row>
    <row r="28">
      <c r="B28" s="9" t="n"/>
      <c r="BP28" s="8" t="n"/>
    </row>
    <row r="29" ht="22.8" customHeight="1" s="42" thickBot="1">
      <c r="B29" s="9" t="n"/>
      <c r="BP29" s="8" t="n"/>
    </row>
    <row r="30" ht="31.95" customHeight="1" s="42"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2" t="n"/>
    </row>
    <row r="31"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</row>
  </sheetData>
  <mergeCells count="140">
    <mergeCell ref="K14:N14"/>
    <mergeCell ref="Z6:AG6"/>
    <mergeCell ref="BC5:BF5"/>
    <mergeCell ref="H17:J17"/>
    <mergeCell ref="E15:G15"/>
    <mergeCell ref="BJ8:BL8"/>
    <mergeCell ref="AQ3:AU3"/>
    <mergeCell ref="BN12:BO12"/>
    <mergeCell ref="Z7:AG7"/>
    <mergeCell ref="C6:F6"/>
    <mergeCell ref="AP13:AY13"/>
    <mergeCell ref="T8:Y8"/>
    <mergeCell ref="B12:D13"/>
    <mergeCell ref="BM3:BP3"/>
    <mergeCell ref="AZ3:BB3"/>
    <mergeCell ref="G2:P2"/>
    <mergeCell ref="AZ12:BB12"/>
    <mergeCell ref="BJ3:BL3"/>
    <mergeCell ref="E16:G16"/>
    <mergeCell ref="BN14:BO14"/>
    <mergeCell ref="BG7:BI7"/>
    <mergeCell ref="AV3:AY3"/>
    <mergeCell ref="AZ14:BB14"/>
    <mergeCell ref="BJ5:BL5"/>
    <mergeCell ref="E18:G18"/>
    <mergeCell ref="BC7:BF7"/>
    <mergeCell ref="BM7:BP7"/>
    <mergeCell ref="G6:P6"/>
    <mergeCell ref="V14:X14"/>
    <mergeCell ref="AZ6:BB6"/>
    <mergeCell ref="C2:F2"/>
    <mergeCell ref="AK16:AN16"/>
    <mergeCell ref="Z9:AG9"/>
    <mergeCell ref="G4:P4"/>
    <mergeCell ref="B17:D17"/>
    <mergeCell ref="AA12:AJ12"/>
    <mergeCell ref="B1:P1"/>
    <mergeCell ref="E12:G13"/>
    <mergeCell ref="R18:U18"/>
    <mergeCell ref="H16:J16"/>
    <mergeCell ref="BJ7:BL7"/>
    <mergeCell ref="BG6:BI6"/>
    <mergeCell ref="C3:F3"/>
    <mergeCell ref="AA14:AJ14"/>
    <mergeCell ref="B2:B7"/>
    <mergeCell ref="AV7:AY7"/>
    <mergeCell ref="K15:N15"/>
    <mergeCell ref="C5:F5"/>
    <mergeCell ref="BC6:BF6"/>
    <mergeCell ref="BM6:BP6"/>
    <mergeCell ref="T7:Y7"/>
    <mergeCell ref="AP12:AY12"/>
    <mergeCell ref="AZ8:BB8"/>
    <mergeCell ref="O14:Q14"/>
    <mergeCell ref="AK13:AN13"/>
    <mergeCell ref="C4:F4"/>
    <mergeCell ref="AP14:AY14"/>
    <mergeCell ref="R16:U16"/>
    <mergeCell ref="AV8:AY8"/>
    <mergeCell ref="AK15:AN15"/>
    <mergeCell ref="V17:X17"/>
    <mergeCell ref="AQ4:AU4"/>
    <mergeCell ref="O15:Q15"/>
    <mergeCell ref="O18:Q18"/>
    <mergeCell ref="G3:P3"/>
    <mergeCell ref="AQ6:AU6"/>
    <mergeCell ref="E17:G17"/>
    <mergeCell ref="BD13:BM13"/>
    <mergeCell ref="BG8:BI8"/>
    <mergeCell ref="H12:J13"/>
    <mergeCell ref="G5:P5"/>
    <mergeCell ref="V12:X13"/>
    <mergeCell ref="BJ6:BL6"/>
    <mergeCell ref="B14:D14"/>
    <mergeCell ref="K17:N17"/>
    <mergeCell ref="BC8:BF8"/>
    <mergeCell ref="T9:Y9"/>
    <mergeCell ref="S1:BP1"/>
    <mergeCell ref="AV6:AY6"/>
    <mergeCell ref="V15:X15"/>
    <mergeCell ref="AZ7:BB7"/>
    <mergeCell ref="AV4:AY4"/>
    <mergeCell ref="K12:N13"/>
    <mergeCell ref="O17:Q17"/>
    <mergeCell ref="V16:X16"/>
    <mergeCell ref="H15:J15"/>
    <mergeCell ref="Z3:AG3"/>
    <mergeCell ref="AA13:AJ13"/>
    <mergeCell ref="H18:J18"/>
    <mergeCell ref="AK12:AN12"/>
    <mergeCell ref="V18:X18"/>
    <mergeCell ref="G7:P7"/>
    <mergeCell ref="Z5:AG5"/>
    <mergeCell ref="AQ5:AU5"/>
    <mergeCell ref="BD12:BM12"/>
    <mergeCell ref="AA15:AJ15"/>
    <mergeCell ref="AQ2:BP2"/>
    <mergeCell ref="O12:Q13"/>
    <mergeCell ref="AK14:AN14"/>
    <mergeCell ref="Z4:AG4"/>
    <mergeCell ref="E14:G14"/>
    <mergeCell ref="BD14:BM14"/>
    <mergeCell ref="BG4:BI4"/>
    <mergeCell ref="AA16:AJ16"/>
    <mergeCell ref="R17:U17"/>
    <mergeCell ref="BM5:BP5"/>
    <mergeCell ref="AZ5:BB5"/>
    <mergeCell ref="C7:F7"/>
    <mergeCell ref="BC4:BF4"/>
    <mergeCell ref="BM4:BP4"/>
    <mergeCell ref="AZ4:BB4"/>
    <mergeCell ref="O16:Q16"/>
    <mergeCell ref="AV5:AY5"/>
    <mergeCell ref="BN13:BO13"/>
    <mergeCell ref="T2:Y2"/>
    <mergeCell ref="K18:N18"/>
    <mergeCell ref="AQ7:AU7"/>
    <mergeCell ref="R14:U14"/>
    <mergeCell ref="AA17:AJ17"/>
    <mergeCell ref="R12:U13"/>
    <mergeCell ref="AK17:AN17"/>
    <mergeCell ref="K16:N16"/>
    <mergeCell ref="B15:D15"/>
    <mergeCell ref="T6:Y6"/>
    <mergeCell ref="Z8:AG8"/>
    <mergeCell ref="AQ8:AU8"/>
    <mergeCell ref="H14:J14"/>
    <mergeCell ref="Z2:AG2"/>
    <mergeCell ref="T3:Y3"/>
    <mergeCell ref="BM8:BP8"/>
    <mergeCell ref="R15:U15"/>
    <mergeCell ref="AZ13:BB13"/>
    <mergeCell ref="BG3:BI3"/>
    <mergeCell ref="BJ4:BL4"/>
    <mergeCell ref="B16:D16"/>
    <mergeCell ref="T5:Y5"/>
    <mergeCell ref="BG5:BI5"/>
    <mergeCell ref="B18:D18"/>
    <mergeCell ref="BC3:BF3"/>
    <mergeCell ref="T4:Y4"/>
  </mergeCells>
  <conditionalFormatting sqref="BJ4:BJ8">
    <cfRule type="cellIs" priority="1" operator="greaterThan" dxfId="0">
      <formula>0</formula>
    </cfRule>
  </conditionalFormatting>
  <pageMargins left="0.2362204724409449" right="0.2362204724409449" top="0.7480314960629921" bottom="0.1574803149606299" header="0.3149606299212598" footer="0.3149606299212598"/>
  <pageSetup orientation="landscape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F22" sqref="F22"/>
    </sheetView>
  </sheetViews>
  <sheetFormatPr baseColWidth="8" defaultColWidth="8.88671875" defaultRowHeight="14.4"/>
  <cols>
    <col width="6.6640625" customWidth="1" style="57" min="1" max="1"/>
    <col width="22.33203125" customWidth="1" style="56" min="2" max="2"/>
    <col width="41.33203125" customWidth="1" style="56" min="3" max="3"/>
    <col width="14.44140625" bestFit="1" customWidth="1" style="57" min="4" max="4"/>
    <col width="42.77734375" customWidth="1" style="56" min="5" max="5"/>
    <col width="18.77734375" customWidth="1" style="57" min="6" max="6"/>
    <col width="16.21875" customWidth="1" style="57" min="7" max="7"/>
    <col width="8.88671875" customWidth="1" style="57" min="8" max="16384"/>
  </cols>
  <sheetData>
    <row r="1" ht="31.2" customHeight="1" s="42" thickBot="1">
      <c r="A1" s="143" t="inlineStr">
        <is>
          <t>Tamamlanan Frekanslar</t>
        </is>
      </c>
      <c r="B1" s="6" t="n"/>
      <c r="C1" s="6" t="n"/>
      <c r="D1" s="6" t="n"/>
      <c r="E1" s="22" t="n"/>
    </row>
    <row r="2" ht="32.4" customFormat="1" customHeight="1" s="57" thickBot="1">
      <c r="A2" s="23" t="inlineStr">
        <is>
          <t>SN</t>
        </is>
      </c>
      <c r="B2" s="24" t="inlineStr">
        <is>
          <t>PERSONEL</t>
        </is>
      </c>
      <c r="C2" s="24" t="inlineStr">
        <is>
          <t>LOKASYON</t>
        </is>
      </c>
      <c r="D2" s="24" t="inlineStr">
        <is>
          <t>GÖREV NO</t>
        </is>
      </c>
      <c r="E2" s="49" t="inlineStr">
        <is>
          <t>GÖREV TANIMI</t>
        </is>
      </c>
      <c r="F2" s="49" t="inlineStr">
        <is>
          <t>TARİH-SAAT</t>
        </is>
      </c>
      <c r="G2" s="49" t="inlineStr">
        <is>
          <t>DURUM</t>
        </is>
      </c>
    </row>
    <row r="3" ht="20.4" customHeight="1" s="42">
      <c r="A3" s="145" t="inlineStr">
        <is>
          <t>Toplam Görev Sayısı :</t>
        </is>
      </c>
      <c r="B3" s="153" t="n"/>
      <c r="C3" s="145">
        <f>COUNTA(A4:A5000)</f>
        <v/>
      </c>
      <c r="D3" s="31" t="n"/>
      <c r="E3" s="31" t="n"/>
    </row>
    <row r="4">
      <c r="A4" s="35" t="n">
        <v>1</v>
      </c>
      <c r="B4" s="36" t="n"/>
      <c r="C4" s="36" t="n"/>
      <c r="D4" s="35" t="n"/>
      <c r="E4" s="36" t="n"/>
      <c r="F4" s="59" t="inlineStr">
        <is>
          <t> </t>
        </is>
      </c>
      <c r="G4" s="59" t="n"/>
    </row>
    <row r="5">
      <c r="A5" s="35" t="n">
        <v>2</v>
      </c>
      <c r="B5" s="36" t="n"/>
      <c r="C5" s="36" t="n"/>
      <c r="D5" s="35" t="n"/>
      <c r="E5" s="36" t="n"/>
      <c r="F5" s="59" t="inlineStr">
        <is>
          <t> </t>
        </is>
      </c>
      <c r="G5" s="59" t="n"/>
    </row>
    <row r="6">
      <c r="A6" s="35" t="n">
        <v>3</v>
      </c>
      <c r="B6" s="36" t="n"/>
      <c r="C6" s="36" t="n"/>
      <c r="D6" s="35" t="n"/>
      <c r="E6" s="36" t="n"/>
      <c r="F6" s="59" t="inlineStr">
        <is>
          <t> </t>
        </is>
      </c>
      <c r="G6" s="59" t="n"/>
    </row>
    <row r="7">
      <c r="A7" s="35" t="n">
        <v>4</v>
      </c>
      <c r="B7" s="36" t="n"/>
      <c r="C7" s="36" t="n"/>
      <c r="D7" s="35" t="n"/>
      <c r="E7" s="36" t="n"/>
      <c r="F7" s="59" t="inlineStr">
        <is>
          <t> </t>
        </is>
      </c>
      <c r="G7" s="59" t="n"/>
    </row>
    <row r="8">
      <c r="A8" s="35" t="n">
        <v>5</v>
      </c>
      <c r="B8" s="36" t="n"/>
      <c r="C8" s="36" t="n"/>
      <c r="D8" s="35" t="n"/>
      <c r="E8" s="36" t="n"/>
      <c r="F8" s="59" t="inlineStr">
        <is>
          <t> </t>
        </is>
      </c>
      <c r="G8" s="59" t="n"/>
    </row>
  </sheetData>
  <autoFilter ref="A2:E8"/>
  <mergeCells count="2">
    <mergeCell ref="A1:D1"/>
    <mergeCell ref="A3:B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C22" sqref="C22"/>
    </sheetView>
  </sheetViews>
  <sheetFormatPr baseColWidth="8" defaultRowHeight="14.4"/>
  <cols>
    <col width="5" bestFit="1" customWidth="1" style="42" min="1" max="1"/>
    <col width="19.77734375" customWidth="1" style="42" min="2" max="2"/>
    <col width="32.21875" customWidth="1" style="42" min="3" max="3"/>
    <col width="13.21875" customWidth="1" style="42" min="4" max="4"/>
    <col width="34.21875" customWidth="1" style="18" min="5" max="5"/>
    <col width="31.88671875" customWidth="1" style="18" min="6" max="6"/>
    <col width="24.21875" customWidth="1" style="18" min="7" max="7"/>
  </cols>
  <sheetData>
    <row r="1" ht="36" customFormat="1" customHeight="1" s="57">
      <c r="A1" s="146" t="inlineStr">
        <is>
          <t>Sapma(Zamanında Yapılamayan) Frekanslar</t>
        </is>
      </c>
      <c r="E1" s="56" t="n"/>
      <c r="F1" s="56" t="n"/>
      <c r="G1" s="22" t="n"/>
    </row>
    <row r="2" ht="34.2" customFormat="1" customHeight="1" s="57">
      <c r="A2" s="26" t="inlineStr">
        <is>
          <t>SN</t>
        </is>
      </c>
      <c r="B2" s="26" t="inlineStr">
        <is>
          <t>PERSONEL</t>
        </is>
      </c>
      <c r="C2" s="27" t="inlineStr">
        <is>
          <t>LOKASYON</t>
        </is>
      </c>
      <c r="D2" s="39" t="inlineStr">
        <is>
          <t>GÖREV NO</t>
        </is>
      </c>
      <c r="E2" s="26" t="inlineStr">
        <is>
          <t>GÖREV TANIMI</t>
        </is>
      </c>
      <c r="F2" s="26" t="inlineStr">
        <is>
          <t>TARİH-SAAT</t>
        </is>
      </c>
      <c r="G2" s="26" t="inlineStr">
        <is>
          <t>SAPMA NEDENİ</t>
        </is>
      </c>
    </row>
    <row r="3" ht="21.6" customFormat="1" customHeight="1" s="57">
      <c r="A3" s="147" t="inlineStr">
        <is>
          <t>Toplam Görev Sayısı :</t>
        </is>
      </c>
      <c r="B3" s="158" t="n"/>
      <c r="C3" s="30">
        <f>COUNTA(A4:A5000)</f>
        <v/>
      </c>
      <c r="D3" s="40" t="n"/>
      <c r="E3" s="29" t="n"/>
      <c r="F3" s="29" t="n"/>
      <c r="G3" s="29" t="n"/>
    </row>
    <row r="4">
      <c r="A4" s="35" t="n">
        <v>1</v>
      </c>
      <c r="B4" s="36" t="n"/>
      <c r="C4" s="36" t="n"/>
      <c r="D4" s="41" t="n"/>
      <c r="E4" s="36" t="n"/>
      <c r="F4" s="36" t="n"/>
      <c r="G4" s="36" t="inlineStr">
        <is>
          <t>  </t>
        </is>
      </c>
    </row>
    <row r="5">
      <c r="A5" s="35" t="n">
        <v>2</v>
      </c>
      <c r="B5" s="36" t="n"/>
      <c r="C5" s="36" t="n"/>
      <c r="D5" s="41" t="n"/>
      <c r="E5" s="36" t="n"/>
      <c r="F5" s="36" t="n"/>
      <c r="G5" s="36" t="inlineStr">
        <is>
          <t>  </t>
        </is>
      </c>
    </row>
    <row r="6">
      <c r="A6" s="35" t="n">
        <v>3</v>
      </c>
      <c r="B6" s="36" t="n"/>
      <c r="C6" s="36" t="n"/>
      <c r="D6" s="41" t="n"/>
      <c r="E6" s="36" t="n"/>
      <c r="F6" s="36" t="n"/>
      <c r="G6" s="36" t="inlineStr">
        <is>
          <t>  </t>
        </is>
      </c>
    </row>
    <row r="7">
      <c r="A7" s="35" t="n">
        <v>4</v>
      </c>
      <c r="B7" s="36" t="n"/>
      <c r="C7" s="36" t="n"/>
      <c r="D7" s="41" t="n"/>
      <c r="E7" s="36" t="n"/>
      <c r="F7" s="36" t="n"/>
      <c r="G7" s="36" t="inlineStr">
        <is>
          <t>  </t>
        </is>
      </c>
    </row>
    <row r="8">
      <c r="A8" s="35" t="n">
        <v>5</v>
      </c>
      <c r="B8" s="36" t="n"/>
      <c r="C8" s="36" t="n"/>
      <c r="D8" s="41" t="n"/>
      <c r="E8" s="36" t="n"/>
      <c r="F8" s="36" t="n"/>
      <c r="G8" s="36" t="inlineStr">
        <is>
          <t>  </t>
        </is>
      </c>
    </row>
  </sheetData>
  <autoFilter ref="A2:G8"/>
  <mergeCells count="2">
    <mergeCell ref="A1:D1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style="42" min="1" max="1"/>
    <col width="35" customWidth="1" style="42" min="2" max="2"/>
    <col width="14" customWidth="1" style="42" min="3" max="3"/>
    <col width="36" customWidth="1" style="42" min="4" max="4"/>
    <col width="22" customWidth="1" style="42" min="5" max="5"/>
    <col width="22" customWidth="1" style="42" min="6" max="6"/>
    <col width="32" customWidth="1" style="42" min="7" max="7"/>
  </cols>
  <sheetData>
    <row r="1" ht="36" customHeight="1" s="42">
      <c r="A1" s="146" t="inlineStr">
        <is>
          <t>Kayıp Frekanslar</t>
        </is>
      </c>
    </row>
    <row r="2" ht="34.2" customHeight="1" s="42">
      <c r="A2" s="26" t="inlineStr">
        <is>
          <t>SN</t>
        </is>
      </c>
      <c r="B2" s="26" t="inlineStr">
        <is>
          <t>LOKASYON</t>
        </is>
      </c>
      <c r="C2" s="27" t="inlineStr">
        <is>
          <t>GÖREV NO</t>
        </is>
      </c>
      <c r="D2" s="39" t="inlineStr">
        <is>
          <t>GÖREV TANIMI</t>
        </is>
      </c>
      <c r="E2" s="26" t="inlineStr">
        <is>
          <t>TARİH-SAAT</t>
        </is>
      </c>
      <c r="F2" s="26" t="inlineStr">
        <is>
          <t>DURUM</t>
        </is>
      </c>
      <c r="G2" s="189" t="inlineStr">
        <is>
          <t>KAYIP NEDENİ</t>
        </is>
      </c>
    </row>
    <row r="3" ht="21.6" customHeight="1" s="42">
      <c r="A3" s="183" t="inlineStr">
        <is>
          <t>Toplam Görev Sayısı :</t>
        </is>
      </c>
      <c r="C3" s="184">
        <f>COUNTA(A4:A5000)</f>
        <v/>
      </c>
      <c r="G3" s="189" t="n"/>
    </row>
    <row r="4">
      <c r="A4" s="35" t="n">
        <v>1</v>
      </c>
      <c r="B4" s="36" t="n"/>
      <c r="C4" s="36" t="n"/>
      <c r="D4" s="41" t="n"/>
      <c r="E4" s="36" t="n"/>
      <c r="F4" s="36" t="n"/>
    </row>
    <row r="5">
      <c r="A5" s="35" t="n">
        <v>2</v>
      </c>
      <c r="B5" s="36" t="n"/>
      <c r="C5" s="36" t="n"/>
      <c r="D5" s="41" t="n"/>
      <c r="E5" s="36" t="n"/>
      <c r="F5" s="36" t="n"/>
    </row>
    <row r="6">
      <c r="A6" s="35" t="n">
        <v>3</v>
      </c>
      <c r="B6" s="36" t="n"/>
      <c r="C6" s="36" t="n"/>
      <c r="D6" s="41" t="n"/>
      <c r="E6" s="36" t="n"/>
      <c r="F6" s="36" t="n"/>
    </row>
    <row r="7">
      <c r="A7" s="35" t="n">
        <v>4</v>
      </c>
      <c r="B7" s="36" t="n"/>
      <c r="C7" s="36" t="n"/>
      <c r="D7" s="41" t="n"/>
      <c r="E7" s="36" t="n"/>
      <c r="F7" s="36" t="n"/>
    </row>
    <row r="8">
      <c r="A8" s="35" t="n">
        <v>5</v>
      </c>
      <c r="B8" s="36" t="n"/>
      <c r="C8" s="36" t="n"/>
      <c r="D8" s="41" t="n"/>
      <c r="E8" s="36" t="n"/>
      <c r="F8" s="36" t="n"/>
    </row>
  </sheetData>
  <mergeCells count="2">
    <mergeCell ref="A1:D1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C13" sqref="C13"/>
    </sheetView>
  </sheetViews>
  <sheetFormatPr baseColWidth="8" defaultRowHeight="14.4"/>
  <cols>
    <col width="5" customWidth="1" style="42" min="1" max="1"/>
    <col width="22" customWidth="1" style="25" min="2" max="2"/>
    <col width="28" bestFit="1" customWidth="1" style="18" min="3" max="3"/>
    <col width="14" customWidth="1" style="42" min="4" max="4"/>
    <col width="13" customWidth="1" style="42" min="5" max="5"/>
    <col width="16" customWidth="1" style="42" min="6" max="6"/>
    <col width="13" customWidth="1" style="42" min="7" max="7"/>
    <col width="13" customWidth="1" style="42" min="8" max="8"/>
    <col width="18" customWidth="1" style="42" min="9" max="9"/>
    <col width="13" customWidth="1" style="42" min="10" max="10"/>
    <col width="11.44140625" customWidth="1" style="42" min="11" max="11"/>
    <col width="10.88671875" customWidth="1" style="42" min="12" max="12"/>
  </cols>
  <sheetData>
    <row r="1" ht="41.4" customHeight="1" s="42">
      <c r="A1" s="189" t="inlineStr">
        <is>
          <t>SN</t>
        </is>
      </c>
      <c r="B1" s="189" t="inlineStr">
        <is>
          <t>GRUP</t>
        </is>
      </c>
      <c r="C1" s="189" t="inlineStr">
        <is>
          <t>LOKASYON</t>
        </is>
      </c>
      <c r="D1" s="189" t="inlineStr">
        <is>
          <t>GÜNLÜK FREKANS</t>
        </is>
      </c>
      <c r="E1" s="189" t="inlineStr">
        <is>
          <t>HEDEF FREKANS</t>
        </is>
      </c>
      <c r="F1" s="189" t="inlineStr">
        <is>
          <t>TAMAMLANAN FREKANS</t>
        </is>
      </c>
      <c r="G1" s="189" t="inlineStr">
        <is>
          <t>SAPMA FREKANS</t>
        </is>
      </c>
      <c r="H1" s="189" t="inlineStr">
        <is>
          <t>KAYIP FREKANS</t>
        </is>
      </c>
      <c r="I1" s="189" t="inlineStr">
        <is>
          <t>BAŞARILI İŞLEM ORANI</t>
        </is>
      </c>
      <c r="J1" s="189" t="inlineStr">
        <is>
          <t>GENEL ORAN</t>
        </is>
      </c>
      <c r="K1" s="28" t="n"/>
    </row>
    <row r="2" ht="21" customHeight="1" s="42">
      <c r="A2" s="185" t="inlineStr">
        <is>
          <t>Toplamlar Satırı</t>
        </is>
      </c>
      <c r="B2" s="158" t="n"/>
      <c r="C2" s="159" t="n"/>
      <c r="D2" s="187" t="n"/>
      <c r="E2" s="37">
        <f>SUM(E3:E500)</f>
        <v/>
      </c>
      <c r="F2" s="37">
        <f>SUM(F3:F500)</f>
        <v/>
      </c>
      <c r="G2" s="37">
        <f>SUM(G3:G500)</f>
        <v/>
      </c>
      <c r="H2" s="37">
        <f>SUM(H3:H500)</f>
        <v/>
      </c>
      <c r="I2" s="37">
        <f>F2-(G2+H2)</f>
        <v/>
      </c>
      <c r="J2" s="186">
        <f>IF(F2&gt;0,G2/F2,0)</f>
        <v/>
      </c>
      <c r="K2" s="186" t="n"/>
    </row>
    <row r="3" ht="15.6" customHeight="1" s="42">
      <c r="A3" s="59" t="n">
        <v>1</v>
      </c>
      <c r="B3" s="59" t="n"/>
      <c r="C3" s="91" t="n"/>
      <c r="D3" s="188" t="n"/>
      <c r="E3" s="59" t="n"/>
      <c r="F3" s="59" t="n"/>
      <c r="G3" s="59" t="n"/>
      <c r="H3" s="59" t="n"/>
      <c r="I3" s="48" t="n"/>
      <c r="J3" s="20" t="n"/>
      <c r="K3" s="20" t="n"/>
    </row>
    <row r="4" ht="15.6" customHeight="1" s="42">
      <c r="A4" s="59" t="n">
        <v>2</v>
      </c>
      <c r="B4" s="59" t="n"/>
      <c r="C4" s="91" t="n"/>
      <c r="D4" s="188" t="n"/>
      <c r="E4" s="59" t="n"/>
      <c r="F4" s="59" t="n"/>
      <c r="G4" s="59" t="n"/>
      <c r="H4" s="59" t="n"/>
      <c r="I4" s="48" t="n"/>
      <c r="J4" s="20" t="n"/>
      <c r="K4" s="20" t="n"/>
    </row>
    <row r="5" ht="15.6" customHeight="1" s="42">
      <c r="A5" s="59" t="n">
        <v>3</v>
      </c>
      <c r="B5" s="59" t="n"/>
      <c r="C5" s="91" t="n"/>
      <c r="D5" s="188" t="n"/>
      <c r="E5" s="59" t="n"/>
      <c r="F5" s="59" t="n"/>
      <c r="G5" s="59" t="n"/>
      <c r="H5" s="59" t="n"/>
      <c r="I5" s="48" t="n"/>
      <c r="J5" s="20" t="n"/>
      <c r="K5" s="20" t="n"/>
    </row>
    <row r="6" ht="15.6" customHeight="1" s="42">
      <c r="A6" s="59" t="n">
        <v>4</v>
      </c>
      <c r="B6" s="59" t="n"/>
      <c r="C6" s="91" t="n"/>
      <c r="D6" s="188" t="n"/>
      <c r="E6" s="59" t="n"/>
      <c r="F6" s="59" t="n"/>
      <c r="G6" s="59" t="n"/>
      <c r="H6" s="59" t="n"/>
      <c r="I6" s="48" t="n"/>
      <c r="J6" s="20" t="n"/>
      <c r="K6" s="20" t="n"/>
    </row>
    <row r="7" ht="15.6" customHeight="1" s="42">
      <c r="A7" s="59" t="n">
        <v>5</v>
      </c>
      <c r="B7" s="59" t="n"/>
      <c r="C7" s="91" t="n"/>
      <c r="D7" s="188" t="n"/>
      <c r="E7" s="59" t="n"/>
      <c r="F7" s="59" t="n"/>
      <c r="G7" s="59" t="n"/>
      <c r="H7" s="59" t="n"/>
      <c r="I7" s="48" t="n"/>
      <c r="J7" s="20" t="n"/>
      <c r="K7" s="20" t="n"/>
    </row>
  </sheetData>
  <autoFilter ref="A1:J7"/>
  <mergeCells count="1">
    <mergeCell ref="A2:C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2026-04-02T20:37:27Z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0x010100AAA25B5B3E19D447BCDFDA4F36E9217C</vt:lpwstr>
  </property>
</Properties>
</file>